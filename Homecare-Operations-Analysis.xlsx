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dhungel_21_osu_edu/Documents/Documents/"/>
    </mc:Choice>
  </mc:AlternateContent>
  <xr:revisionPtr revIDLastSave="0" documentId="8_{28B2A3B9-F3DE-48DC-BF95-0A527C2BB5A8}" xr6:coauthVersionLast="47" xr6:coauthVersionMax="47" xr10:uidLastSave="{00000000-0000-0000-0000-000000000000}"/>
  <bookViews>
    <workbookView xWindow="-110" yWindow="-110" windowWidth="25820" windowHeight="15500" xr2:uid="{4870EF7A-98D7-49B9-8CB8-2D713DDD3139}"/>
  </bookViews>
  <sheets>
    <sheet name="RAW DATA" sheetId="1" r:id="rId1"/>
    <sheet name="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3" l="1"/>
  <c r="E11" i="3"/>
  <c r="E12" i="3"/>
  <c r="E9" i="3"/>
  <c r="B10" i="3"/>
  <c r="B11" i="3"/>
  <c r="B12" i="3"/>
  <c r="B13" i="3"/>
  <c r="B14" i="3"/>
  <c r="B9" i="3"/>
  <c r="G4" i="3"/>
  <c r="E4" i="3"/>
  <c r="C4" i="3"/>
  <c r="A4" i="3"/>
  <c r="B42" i="2"/>
  <c r="B41" i="2"/>
  <c r="B40" i="2"/>
  <c r="B39" i="2"/>
  <c r="D32" i="2"/>
  <c r="D33" i="2"/>
  <c r="D34" i="2"/>
  <c r="C32" i="2"/>
  <c r="E32" i="2" s="1"/>
  <c r="C33" i="2"/>
  <c r="E33" i="2" s="1"/>
  <c r="C34" i="2"/>
  <c r="E34" i="2" s="1"/>
  <c r="B32" i="2"/>
  <c r="B33" i="2"/>
  <c r="B34" i="2"/>
  <c r="D31" i="2"/>
  <c r="C31" i="2"/>
  <c r="E31" i="2" s="1"/>
  <c r="B31" i="2"/>
  <c r="E24" i="2"/>
  <c r="E25" i="2"/>
  <c r="D24" i="2"/>
  <c r="D25" i="2"/>
  <c r="C24" i="2"/>
  <c r="C25" i="2"/>
  <c r="B24" i="2"/>
  <c r="B25" i="2"/>
  <c r="E23" i="2"/>
  <c r="D23" i="2"/>
  <c r="C23" i="2"/>
  <c r="B23" i="2"/>
  <c r="D13" i="2"/>
  <c r="D14" i="2"/>
  <c r="D15" i="2"/>
  <c r="D16" i="2"/>
  <c r="D17" i="2"/>
  <c r="C13" i="2"/>
  <c r="E13" i="2" s="1"/>
  <c r="F13" i="2" s="1"/>
  <c r="C14" i="2"/>
  <c r="E14" i="2" s="1"/>
  <c r="C15" i="2"/>
  <c r="E15" i="2" s="1"/>
  <c r="C16" i="2"/>
  <c r="E16" i="2" s="1"/>
  <c r="C17" i="2"/>
  <c r="E17" i="2" s="1"/>
  <c r="B13" i="2"/>
  <c r="B14" i="2"/>
  <c r="B15" i="2"/>
  <c r="B16" i="2"/>
  <c r="B17" i="2"/>
  <c r="D12" i="2"/>
  <c r="C12" i="2"/>
  <c r="E12" i="2" s="1"/>
  <c r="B12" i="2"/>
  <c r="B5" i="2"/>
  <c r="B4" i="2"/>
  <c r="B6" i="2" s="1"/>
  <c r="B3" i="2"/>
  <c r="F17" i="2" l="1"/>
  <c r="F16" i="2"/>
  <c r="F15" i="2"/>
  <c r="F12" i="2"/>
  <c r="F14" i="2"/>
</calcChain>
</file>

<file path=xl/sharedStrings.xml><?xml version="1.0" encoding="utf-8"?>
<sst xmlns="http://schemas.openxmlformats.org/spreadsheetml/2006/main" count="357" uniqueCount="92">
  <si>
    <t>Client ID</t>
  </si>
  <si>
    <t>Staff ID</t>
  </si>
  <si>
    <t>Service Type</t>
  </si>
  <si>
    <t>Region</t>
  </si>
  <si>
    <t>Scheduled Hours</t>
  </si>
  <si>
    <t>Worked Hours</t>
  </si>
  <si>
    <t>Visit Status</t>
  </si>
  <si>
    <t>Missed Visit</t>
  </si>
  <si>
    <t>Week</t>
  </si>
  <si>
    <t>C001</t>
  </si>
  <si>
    <t>Staff 01</t>
  </si>
  <si>
    <t>Personal Care</t>
  </si>
  <si>
    <t>East</t>
  </si>
  <si>
    <t>Completed</t>
  </si>
  <si>
    <t>No</t>
  </si>
  <si>
    <t>C002</t>
  </si>
  <si>
    <t>Staff 02</t>
  </si>
  <si>
    <t>Nursing</t>
  </si>
  <si>
    <t>West</t>
  </si>
  <si>
    <t>Yes</t>
  </si>
  <si>
    <t>C003</t>
  </si>
  <si>
    <t>Staff 03</t>
  </si>
  <si>
    <t>C004</t>
  </si>
  <si>
    <t>Staff 04</t>
  </si>
  <si>
    <t>Transportation</t>
  </si>
  <si>
    <t>North</t>
  </si>
  <si>
    <t>C005</t>
  </si>
  <si>
    <t>Staff 05</t>
  </si>
  <si>
    <t>South</t>
  </si>
  <si>
    <t>C006</t>
  </si>
  <si>
    <t>Staff 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</si>
  <si>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</si>
  <si>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</si>
  <si>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</si>
  <si>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</si>
  <si>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</si>
  <si>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</si>
  <si>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</si>
  <si>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</si>
  <si>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</si>
  <si>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</si>
  <si>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</si>
  <si>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</si>
  <si>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</si>
  <si>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</si>
  <si>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</si>
  <si>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</si>
  <si>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</si>
  <si>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</si>
  <si>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</si>
  <si>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</si>
  <si>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</si>
  <si>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</si>
  <si>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</si>
  <si>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</si>
  <si>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</si>
  <si>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</si>
  <si>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</si>
  <si>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</si>
  <si>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</si>
  <si>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</si>
  <si>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</si>
  <si>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</si>
  <si>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</si>
  <si>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</si>
  <si>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</si>
  <si>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</si>
  <si>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</si>
  <si>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</si>
  <si>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</si>
  <si>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</si>
  <si>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</si>
  <si>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</si>
  <si>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Overall Operations</t>
  </si>
  <si>
    <t>Total Scheduled Hours</t>
  </si>
  <si>
    <t>Total Worked Hours</t>
  </si>
  <si>
    <t>Total Missed Visits</t>
  </si>
  <si>
    <t>Overall Completion Rate</t>
  </si>
  <si>
    <t>Staff Performance</t>
  </si>
  <si>
    <t>Missed Visits</t>
  </si>
  <si>
    <t>Completion Rate</t>
  </si>
  <si>
    <t>Rank</t>
  </si>
  <si>
    <t>Service Type Analysis</t>
  </si>
  <si>
    <t>Average Scheduled Hours</t>
  </si>
  <si>
    <t>Regional Analysis</t>
  </si>
  <si>
    <t>Key Findings</t>
  </si>
  <si>
    <t>Highest Performing Staff</t>
  </si>
  <si>
    <t>Lowest Performing Staff</t>
  </si>
  <si>
    <t>Region With Lowest Completion Rate</t>
  </si>
  <si>
    <t>Highest Demand Service</t>
  </si>
  <si>
    <t>Homecare Operations Dashboard</t>
  </si>
  <si>
    <t xml:space="preserve">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</si>
</sst>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4" borderId="16" xfId="0" applyFont="1" applyFill="1" applyBorder="1"/>
    <xf numFmtId="0" fontId="2" fillId="4" borderId="17" xfId="0" applyFont="1" applyFill="1" applyBorder="1"/>
    <xf numFmtId="0" fontId="2" fillId="4" borderId="26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27" xfId="0" applyFont="1" applyFill="1" applyBorder="1"/>
    <xf numFmtId="0" fontId="2" fillId="4" borderId="28" xfId="0" applyFont="1" applyFill="1" applyBorder="1"/>
    <xf numFmtId="0" fontId="2" fillId="4" borderId="18" xfId="0" applyFont="1" applyFill="1" applyBorder="1"/>
    <xf numFmtId="9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 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Completion Rate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6"/>
                <c:pt idx="0">
                  <c:v>Staff 01</c:v>
                </c:pt>
                <c:pt idx="1">
                  <c:v>Staff 02</c:v>
                </c:pt>
                <c:pt idx="2">
                  <c:v>Staff 03</c:v>
                </c:pt>
                <c:pt idx="3">
                  <c:v>Staff 04</c:v>
                </c:pt>
                <c:pt idx="4">
                  <c:v>Staff 05</c:v>
                </c:pt>
                <c:pt idx="5">
                  <c:v>Staff 06</c:v>
                </c:pt>
              </c:strCache>
            </c:strRef>
          </c:cat>
          <c:val>
            <c:numRef>
              <c:f>Dashboard!$B$9:$B$14</c:f>
              <c:numCache>
                <c:formatCode>0%</c:formatCode>
                <c:ptCount val="6"/>
                <c:pt idx="0">
                  <c:v>0.90361445783132532</c:v>
                </c:pt>
                <c:pt idx="1">
                  <c:v>0.86451612903225805</c:v>
                </c:pt>
                <c:pt idx="2">
                  <c:v>0.92</c:v>
                </c:pt>
                <c:pt idx="3">
                  <c:v>0.87709497206703912</c:v>
                </c:pt>
                <c:pt idx="4">
                  <c:v>0.90291262135922334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0-4323-9C88-AC276131E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41448880"/>
        <c:axId val="443878448"/>
      </c:barChart>
      <c:catAx>
        <c:axId val="4414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78448"/>
        <c:crosses val="autoZero"/>
        <c:auto val="1"/>
        <c:lblAlgn val="ctr"/>
        <c:lblOffset val="100"/>
        <c:noMultiLvlLbl val="0"/>
      </c:catAx>
      <c:valAx>
        <c:axId val="443878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Dashboard!$D$9:$D$12</c:f>
              <c:strCache>
                <c:ptCount val="4"/>
                <c:pt idx="0">
                  <c:v>East 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Dashboard!$E$9:$E$12</c:f>
              <c:numCache>
                <c:formatCode>0%</c:formatCode>
                <c:ptCount val="4"/>
                <c:pt idx="0">
                  <c:v>0.91304347826086951</c:v>
                </c:pt>
                <c:pt idx="1">
                  <c:v>0.8582995951417004</c:v>
                </c:pt>
                <c:pt idx="2">
                  <c:v>0.89756097560975612</c:v>
                </c:pt>
                <c:pt idx="3">
                  <c:v>0.9054545454545454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8-4AC3-AA79-1BD217C7C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36480368"/>
        <c:axId val="443930288"/>
      </c:barChart>
      <c:catAx>
        <c:axId val="53648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30288"/>
        <c:crosses val="autoZero"/>
        <c:auto val="1"/>
        <c:lblAlgn val="ctr"/>
        <c:lblOffset val="100"/>
        <c:noMultiLvlLbl val="0"/>
      </c:catAx>
      <c:valAx>
        <c:axId val="4439302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31846</xdr:colOff>
      <xdr:row>19</xdr:row>
      <xdr:rowOff>153170</xdr:rowOff>
    </xdr:from>
    <xdr:to>
      <xdr:col>3</xdr:col>
      <xdr:colOff>469996</xdr:colOff>
      <xdr:row>34</xdr:row>
      <xdr:rowOff>134119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32B4D-FCB4-9D36-3163-441DA83ED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12025</xdr:colOff>
      <xdr:row>19</xdr:row>
      <xdr:rowOff>150283</xdr:rowOff>
    </xdr:from>
    <xdr:to>
      <xdr:col>10</xdr:col>
      <xdr:colOff>340301</xdr:colOff>
      <xdr:row>34</xdr:row>
      <xdr:rowOff>137775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856BB0-3746-29E5-3910-A22AEB452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5B37-8A58-41A6-B6CF-BFE7D4DA6A7E}">
  <dimension ref="A1:I49"/>
  <sheetViews>
    <sheetView tabSelected="1" workbookViewId="0">
      <selection activeCell="L24" sqref="L24"/>
    </sheetView>
  </sheetViews>
  <sheetFormatPr defaultRowHeight="14.5" x14ac:dyDescent="0.35"/>
  <cols>
    <col min="1" max="1" width="10.26953125" bestFit="1" customWidth="1"/>
    <col min="2" max="2" width="8.90625" bestFit="1" customWidth="1"/>
    <col min="3" max="3" width="14.1796875" bestFit="1" customWidth="1"/>
    <col min="4" max="4" width="8.1796875" bestFit="1" customWidth="1"/>
    <col min="5" max="5" width="19.26953125" bestFit="1" customWidth="1"/>
    <col min="6" max="6" width="16" bestFit="1" customWidth="1"/>
    <col min="7" max="7" width="12.90625" bestFit="1" customWidth="1"/>
    <col min="8" max="8" width="13.7265625" bestFit="1" customWidth="1"/>
    <col min="9" max="9" width="8.54296875" customWidth="1"/>
  </cols>
  <sheetData>
    <row r="1" spans="1:9" ht="19" thickBot="1" x14ac:dyDescent="0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20</v>
      </c>
      <c r="F2">
        <v>18</v>
      </c>
      <c r="G2" t="s">
        <v>13</v>
      </c>
      <c r="H2" t="s">
        <v>14</v>
      </c>
      <c r="I2">
        <v>1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>
        <v>15</v>
      </c>
      <c r="F3">
        <v>11</v>
      </c>
      <c r="G3" t="s">
        <v>13</v>
      </c>
      <c r="H3" t="s">
        <v>19</v>
      </c>
      <c r="I3">
        <v>1</v>
      </c>
    </row>
    <row r="4" spans="1:9" x14ac:dyDescent="0.35">
      <c r="A4" t="s">
        <v>20</v>
      </c>
      <c r="B4" t="s">
        <v>21</v>
      </c>
      <c r="C4" t="s">
        <v>11</v>
      </c>
      <c r="D4" t="s">
        <v>12</v>
      </c>
      <c r="E4">
        <v>25</v>
      </c>
      <c r="F4">
        <v>25</v>
      </c>
      <c r="G4" t="s">
        <v>13</v>
      </c>
      <c r="H4" t="s">
        <v>14</v>
      </c>
      <c r="I4">
        <v>1</v>
      </c>
    </row>
    <row r="5" spans="1:9" x14ac:dyDescent="0.35">
      <c r="A5" t="s">
        <v>22</v>
      </c>
      <c r="B5" t="s">
        <v>23</v>
      </c>
      <c r="C5" t="s">
        <v>24</v>
      </c>
      <c r="D5" t="s">
        <v>25</v>
      </c>
      <c r="E5">
        <v>10</v>
      </c>
      <c r="F5">
        <v>8</v>
      </c>
      <c r="G5" t="s">
        <v>13</v>
      </c>
      <c r="H5" t="s">
        <v>19</v>
      </c>
      <c r="I5">
        <v>1</v>
      </c>
    </row>
    <row r="6" spans="1:9" x14ac:dyDescent="0.35">
      <c r="A6" t="s">
        <v>26</v>
      </c>
      <c r="B6" t="s">
        <v>27</v>
      </c>
      <c r="C6" t="s">
        <v>17</v>
      </c>
      <c r="D6" t="s">
        <v>28</v>
      </c>
      <c r="E6">
        <v>30</v>
      </c>
      <c r="F6">
        <v>27</v>
      </c>
      <c r="G6" t="s">
        <v>13</v>
      </c>
      <c r="H6" t="s">
        <v>14</v>
      </c>
      <c r="I6">
        <v>1</v>
      </c>
    </row>
    <row r="7" spans="1:9" x14ac:dyDescent="0.35">
      <c r="A7" t="s">
        <v>29</v>
      </c>
      <c r="B7" t="s">
        <v>30</v>
      </c>
      <c r="C7" t="s">
        <v>11</v>
      </c>
      <c r="D7" t="s">
        <v>18</v>
      </c>
      <c r="E7">
        <v>18</v>
      </c>
      <c r="F7">
        <v>15</v>
      </c>
      <c r="G7" t="s">
        <v>13</v>
      </c>
      <c r="H7" t="s">
        <v>14</v>
      </c>
      <c r="I7">
        <v>1</v>
      </c>
    </row>
    <row r="8" spans="1:9" x14ac:dyDescent="0.35">
      <c r="A8" t="s">
        <v>31</v>
      </c>
      <c r="B8" t="s">
        <v>10</v>
      </c>
      <c r="C8" t="s">
        <v>17</v>
      </c>
      <c r="D8" t="s">
        <v>12</v>
      </c>
      <c r="E8">
        <v>22</v>
      </c>
      <c r="F8">
        <v>20</v>
      </c>
      <c r="G8" t="s">
        <v>13</v>
      </c>
      <c r="H8" t="s">
        <v>14</v>
      </c>
      <c r="I8">
        <v>1</v>
      </c>
    </row>
    <row r="9" spans="1:9" x14ac:dyDescent="0.35">
      <c r="A9" t="s">
        <v>32</v>
      </c>
      <c r="B9" t="s">
        <v>16</v>
      </c>
      <c r="C9" t="s">
        <v>11</v>
      </c>
      <c r="D9" t="s">
        <v>28</v>
      </c>
      <c r="E9">
        <v>16</v>
      </c>
      <c r="F9">
        <v>12</v>
      </c>
      <c r="G9" t="s">
        <v>13</v>
      </c>
      <c r="H9" t="s">
        <v>19</v>
      </c>
      <c r="I9">
        <v>1</v>
      </c>
    </row>
    <row r="10" spans="1:9" x14ac:dyDescent="0.35">
      <c r="A10" t="s">
        <v>33</v>
      </c>
      <c r="B10" t="s">
        <v>21</v>
      </c>
      <c r="C10" t="s">
        <v>24</v>
      </c>
      <c r="D10" t="s">
        <v>25</v>
      </c>
      <c r="E10">
        <v>12</v>
      </c>
      <c r="F10">
        <v>12</v>
      </c>
      <c r="G10" t="s">
        <v>13</v>
      </c>
      <c r="H10" t="s">
        <v>14</v>
      </c>
      <c r="I10">
        <v>1</v>
      </c>
    </row>
    <row r="11" spans="1:9" x14ac:dyDescent="0.35">
      <c r="A11" t="s">
        <v>34</v>
      </c>
      <c r="B11" t="s">
        <v>23</v>
      </c>
      <c r="C11" t="s">
        <v>11</v>
      </c>
      <c r="D11" t="s">
        <v>12</v>
      </c>
      <c r="E11">
        <v>24</v>
      </c>
      <c r="F11">
        <v>19</v>
      </c>
      <c r="G11" t="s">
        <v>13</v>
      </c>
      <c r="H11" t="s">
        <v>19</v>
      </c>
      <c r="I11">
        <v>1</v>
      </c>
    </row>
    <row r="12" spans="1:9" x14ac:dyDescent="0.35">
      <c r="A12" t="s">
        <v>35</v>
      </c>
      <c r="B12" t="s">
        <v>27</v>
      </c>
      <c r="C12" t="s">
        <v>17</v>
      </c>
      <c r="D12" t="s">
        <v>18</v>
      </c>
      <c r="E12">
        <v>28</v>
      </c>
      <c r="F12">
        <v>26</v>
      </c>
      <c r="G12" t="s">
        <v>13</v>
      </c>
      <c r="H12" t="s">
        <v>14</v>
      </c>
      <c r="I12">
        <v>1</v>
      </c>
    </row>
    <row r="13" spans="1:9" x14ac:dyDescent="0.35">
      <c r="A13" t="s">
        <v>36</v>
      </c>
      <c r="B13" t="s">
        <v>30</v>
      </c>
      <c r="C13" t="s">
        <v>11</v>
      </c>
      <c r="D13" t="s">
        <v>28</v>
      </c>
      <c r="E13">
        <v>20</v>
      </c>
      <c r="F13">
        <v>20</v>
      </c>
      <c r="G13" t="s">
        <v>13</v>
      </c>
      <c r="H13" t="s">
        <v>14</v>
      </c>
      <c r="I13">
        <v>1</v>
      </c>
    </row>
    <row r="14" spans="1:9" x14ac:dyDescent="0.35">
      <c r="A14" t="s">
        <v>37</v>
      </c>
      <c r="B14" t="s">
        <v>10</v>
      </c>
      <c r="C14" t="s">
        <v>24</v>
      </c>
      <c r="D14" t="s">
        <v>12</v>
      </c>
      <c r="E14">
        <v>14</v>
      </c>
      <c r="F14">
        <v>13</v>
      </c>
      <c r="G14" t="s">
        <v>13</v>
      </c>
      <c r="H14" t="s">
        <v>14</v>
      </c>
      <c r="I14">
        <v>2</v>
      </c>
    </row>
    <row r="15" spans="1:9" x14ac:dyDescent="0.35">
      <c r="A15" t="s">
        <v>38</v>
      </c>
      <c r="B15" t="s">
        <v>16</v>
      </c>
      <c r="C15" t="s">
        <v>17</v>
      </c>
      <c r="D15" t="s">
        <v>18</v>
      </c>
      <c r="E15">
        <v>18</v>
      </c>
      <c r="F15">
        <v>14</v>
      </c>
      <c r="G15" t="s">
        <v>13</v>
      </c>
      <c r="H15" t="s">
        <v>19</v>
      </c>
      <c r="I15">
        <v>2</v>
      </c>
    </row>
    <row r="16" spans="1:9" x14ac:dyDescent="0.35">
      <c r="A16" t="s">
        <v>39</v>
      </c>
      <c r="B16" t="s">
        <v>21</v>
      </c>
      <c r="C16" t="s">
        <v>11</v>
      </c>
      <c r="D16" t="s">
        <v>25</v>
      </c>
      <c r="E16">
        <v>26</v>
      </c>
      <c r="F16">
        <v>23</v>
      </c>
      <c r="G16" t="s">
        <v>13</v>
      </c>
      <c r="H16" t="s">
        <v>14</v>
      </c>
      <c r="I16">
        <v>2</v>
      </c>
    </row>
    <row r="17" spans="1:9" x14ac:dyDescent="0.35">
      <c r="A17" t="s">
        <v>40</v>
      </c>
      <c r="B17" t="s">
        <v>23</v>
      </c>
      <c r="C17" t="s">
        <v>17</v>
      </c>
      <c r="D17" t="s">
        <v>28</v>
      </c>
      <c r="E17">
        <v>30</v>
      </c>
      <c r="F17">
        <v>28</v>
      </c>
      <c r="G17" t="s">
        <v>13</v>
      </c>
      <c r="H17" t="s">
        <v>14</v>
      </c>
      <c r="I17">
        <v>2</v>
      </c>
    </row>
    <row r="18" spans="1:9" x14ac:dyDescent="0.35">
      <c r="A18" t="s">
        <v>41</v>
      </c>
      <c r="B18" t="s">
        <v>27</v>
      </c>
      <c r="C18" t="s">
        <v>11</v>
      </c>
      <c r="D18" t="s">
        <v>12</v>
      </c>
      <c r="E18">
        <v>22</v>
      </c>
      <c r="F18">
        <v>18</v>
      </c>
      <c r="G18" t="s">
        <v>13</v>
      </c>
      <c r="H18" t="s">
        <v>19</v>
      </c>
      <c r="I18">
        <v>2</v>
      </c>
    </row>
    <row r="19" spans="1:9" x14ac:dyDescent="0.35">
      <c r="A19" t="s">
        <v>42</v>
      </c>
      <c r="B19" t="s">
        <v>30</v>
      </c>
      <c r="C19" t="s">
        <v>24</v>
      </c>
      <c r="D19" t="s">
        <v>18</v>
      </c>
      <c r="E19">
        <v>10</v>
      </c>
      <c r="F19">
        <v>9</v>
      </c>
      <c r="G19" t="s">
        <v>13</v>
      </c>
      <c r="H19" t="s">
        <v>14</v>
      </c>
      <c r="I19">
        <v>2</v>
      </c>
    </row>
    <row r="20" spans="1:9" x14ac:dyDescent="0.35">
      <c r="A20" t="s">
        <v>43</v>
      </c>
      <c r="B20" t="s">
        <v>10</v>
      </c>
      <c r="C20" t="s">
        <v>11</v>
      </c>
      <c r="D20" t="s">
        <v>28</v>
      </c>
      <c r="E20">
        <v>24</v>
      </c>
      <c r="F20">
        <v>21</v>
      </c>
      <c r="G20" t="s">
        <v>13</v>
      </c>
      <c r="H20" t="s">
        <v>14</v>
      </c>
      <c r="I20">
        <v>2</v>
      </c>
    </row>
    <row r="21" spans="1:9" x14ac:dyDescent="0.35">
      <c r="A21" t="s">
        <v>44</v>
      </c>
      <c r="B21" t="s">
        <v>16</v>
      </c>
      <c r="C21" t="s">
        <v>17</v>
      </c>
      <c r="D21" t="s">
        <v>12</v>
      </c>
      <c r="E21">
        <v>20</v>
      </c>
      <c r="F21">
        <v>20</v>
      </c>
      <c r="G21" t="s">
        <v>13</v>
      </c>
      <c r="H21" t="s">
        <v>14</v>
      </c>
      <c r="I21">
        <v>2</v>
      </c>
    </row>
    <row r="22" spans="1:9" x14ac:dyDescent="0.35">
      <c r="A22" t="s">
        <v>45</v>
      </c>
      <c r="B22" t="s">
        <v>21</v>
      </c>
      <c r="C22" t="s">
        <v>24</v>
      </c>
      <c r="D22" t="s">
        <v>25</v>
      </c>
      <c r="E22">
        <v>15</v>
      </c>
      <c r="F22">
        <v>11</v>
      </c>
      <c r="G22" t="s">
        <v>13</v>
      </c>
      <c r="H22" t="s">
        <v>19</v>
      </c>
      <c r="I22">
        <v>2</v>
      </c>
    </row>
    <row r="23" spans="1:9" x14ac:dyDescent="0.35">
      <c r="A23" t="s">
        <v>46</v>
      </c>
      <c r="B23" t="s">
        <v>23</v>
      </c>
      <c r="C23" t="s">
        <v>11</v>
      </c>
      <c r="D23" t="s">
        <v>18</v>
      </c>
      <c r="E23">
        <v>28</v>
      </c>
      <c r="F23">
        <v>25</v>
      </c>
      <c r="G23" t="s">
        <v>13</v>
      </c>
      <c r="H23" t="s">
        <v>14</v>
      </c>
      <c r="I23">
        <v>2</v>
      </c>
    </row>
    <row r="24" spans="1:9" x14ac:dyDescent="0.35">
      <c r="A24" t="s">
        <v>47</v>
      </c>
      <c r="B24" t="s">
        <v>27</v>
      </c>
      <c r="C24" t="s">
        <v>17</v>
      </c>
      <c r="D24" t="s">
        <v>28</v>
      </c>
      <c r="E24">
        <v>25</v>
      </c>
      <c r="F24">
        <v>23</v>
      </c>
      <c r="G24" t="s">
        <v>13</v>
      </c>
      <c r="H24" t="s">
        <v>14</v>
      </c>
      <c r="I24">
        <v>2</v>
      </c>
    </row>
    <row r="25" spans="1:9" x14ac:dyDescent="0.35">
      <c r="A25" t="s">
        <v>48</v>
      </c>
      <c r="B25" t="s">
        <v>30</v>
      </c>
      <c r="C25" t="s">
        <v>11</v>
      </c>
      <c r="D25" t="s">
        <v>12</v>
      </c>
      <c r="E25">
        <v>18</v>
      </c>
      <c r="F25">
        <v>15</v>
      </c>
      <c r="G25" t="s">
        <v>13</v>
      </c>
      <c r="H25" t="s">
        <v>19</v>
      </c>
      <c r="I25">
        <v>2</v>
      </c>
    </row>
    <row r="26" spans="1:9" x14ac:dyDescent="0.35">
      <c r="A26" t="s">
        <v>49</v>
      </c>
      <c r="B26" t="s">
        <v>10</v>
      </c>
      <c r="C26" t="s">
        <v>17</v>
      </c>
      <c r="D26" t="s">
        <v>25</v>
      </c>
      <c r="E26">
        <v>32</v>
      </c>
      <c r="F26">
        <v>29</v>
      </c>
      <c r="G26" t="s">
        <v>13</v>
      </c>
      <c r="H26" t="s">
        <v>14</v>
      </c>
      <c r="I26">
        <v>3</v>
      </c>
    </row>
    <row r="27" spans="1:9" x14ac:dyDescent="0.35">
      <c r="A27" t="s">
        <v>50</v>
      </c>
      <c r="B27" t="s">
        <v>16</v>
      </c>
      <c r="C27" t="s">
        <v>11</v>
      </c>
      <c r="D27" t="s">
        <v>18</v>
      </c>
      <c r="E27">
        <v>20</v>
      </c>
      <c r="F27">
        <v>17</v>
      </c>
      <c r="G27" t="s">
        <v>13</v>
      </c>
      <c r="H27" t="s">
        <v>14</v>
      </c>
      <c r="I27">
        <v>3</v>
      </c>
    </row>
    <row r="28" spans="1:9" x14ac:dyDescent="0.35">
      <c r="A28" t="s">
        <v>51</v>
      </c>
      <c r="B28" t="s">
        <v>21</v>
      </c>
      <c r="C28" t="s">
        <v>24</v>
      </c>
      <c r="D28" t="s">
        <v>28</v>
      </c>
      <c r="E28">
        <v>12</v>
      </c>
      <c r="F28">
        <v>10</v>
      </c>
      <c r="G28" t="s">
        <v>13</v>
      </c>
      <c r="H28" t="s">
        <v>19</v>
      </c>
      <c r="I28">
        <v>3</v>
      </c>
    </row>
    <row r="29" spans="1:9" x14ac:dyDescent="0.35">
      <c r="A29" t="s">
        <v>52</v>
      </c>
      <c r="B29" t="s">
        <v>23</v>
      </c>
      <c r="C29" t="s">
        <v>17</v>
      </c>
      <c r="D29" t="s">
        <v>12</v>
      </c>
      <c r="E29">
        <v>24</v>
      </c>
      <c r="F29">
        <v>22</v>
      </c>
      <c r="G29" t="s">
        <v>13</v>
      </c>
      <c r="H29" t="s">
        <v>14</v>
      </c>
      <c r="I29">
        <v>3</v>
      </c>
    </row>
    <row r="30" spans="1:9" x14ac:dyDescent="0.35">
      <c r="A30" t="s">
        <v>53</v>
      </c>
      <c r="B30" t="s">
        <v>27</v>
      </c>
      <c r="C30" t="s">
        <v>11</v>
      </c>
      <c r="D30" t="s">
        <v>25</v>
      </c>
      <c r="E30">
        <v>30</v>
      </c>
      <c r="F30">
        <v>27</v>
      </c>
      <c r="G30" t="s">
        <v>13</v>
      </c>
      <c r="H30" t="s">
        <v>14</v>
      </c>
      <c r="I30">
        <v>3</v>
      </c>
    </row>
    <row r="31" spans="1:9" x14ac:dyDescent="0.35">
      <c r="A31" t="s">
        <v>54</v>
      </c>
      <c r="B31" t="s">
        <v>30</v>
      </c>
      <c r="C31" t="s">
        <v>17</v>
      </c>
      <c r="D31" t="s">
        <v>18</v>
      </c>
      <c r="E31">
        <v>26</v>
      </c>
      <c r="F31">
        <v>21</v>
      </c>
      <c r="G31" t="s">
        <v>13</v>
      </c>
      <c r="H31" t="s">
        <v>19</v>
      </c>
      <c r="I31">
        <v>3</v>
      </c>
    </row>
    <row r="32" spans="1:9" x14ac:dyDescent="0.35">
      <c r="A32" t="s">
        <v>55</v>
      </c>
      <c r="B32" t="s">
        <v>10</v>
      </c>
      <c r="C32" t="s">
        <v>11</v>
      </c>
      <c r="D32" t="s">
        <v>12</v>
      </c>
      <c r="E32">
        <v>18</v>
      </c>
      <c r="F32">
        <v>18</v>
      </c>
      <c r="G32" t="s">
        <v>13</v>
      </c>
      <c r="H32" t="s">
        <v>14</v>
      </c>
      <c r="I32">
        <v>3</v>
      </c>
    </row>
    <row r="33" spans="1:9" x14ac:dyDescent="0.35">
      <c r="A33" t="s">
        <v>56</v>
      </c>
      <c r="B33" t="s">
        <v>16</v>
      </c>
      <c r="C33" t="s">
        <v>24</v>
      </c>
      <c r="D33" t="s">
        <v>28</v>
      </c>
      <c r="E33">
        <v>14</v>
      </c>
      <c r="F33">
        <v>12</v>
      </c>
      <c r="G33" t="s">
        <v>13</v>
      </c>
      <c r="H33" t="s">
        <v>19</v>
      </c>
      <c r="I33">
        <v>3</v>
      </c>
    </row>
    <row r="34" spans="1:9" x14ac:dyDescent="0.35">
      <c r="A34" t="s">
        <v>57</v>
      </c>
      <c r="B34" t="s">
        <v>21</v>
      </c>
      <c r="C34" t="s">
        <v>17</v>
      </c>
      <c r="D34" t="s">
        <v>18</v>
      </c>
      <c r="E34">
        <v>22</v>
      </c>
      <c r="F34">
        <v>20</v>
      </c>
      <c r="G34" t="s">
        <v>13</v>
      </c>
      <c r="H34" t="s">
        <v>14</v>
      </c>
      <c r="I34">
        <v>3</v>
      </c>
    </row>
    <row r="35" spans="1:9" x14ac:dyDescent="0.35">
      <c r="A35" t="s">
        <v>58</v>
      </c>
      <c r="B35" t="s">
        <v>23</v>
      </c>
      <c r="C35" t="s">
        <v>11</v>
      </c>
      <c r="D35" t="s">
        <v>25</v>
      </c>
      <c r="E35">
        <v>25</v>
      </c>
      <c r="F35">
        <v>23</v>
      </c>
      <c r="G35" t="s">
        <v>13</v>
      </c>
      <c r="H35" t="s">
        <v>14</v>
      </c>
      <c r="I35">
        <v>3</v>
      </c>
    </row>
    <row r="36" spans="1:9" x14ac:dyDescent="0.35">
      <c r="A36" t="s">
        <v>59</v>
      </c>
      <c r="B36" t="s">
        <v>27</v>
      </c>
      <c r="C36" t="s">
        <v>24</v>
      </c>
      <c r="D36" t="s">
        <v>12</v>
      </c>
      <c r="E36">
        <v>16</v>
      </c>
      <c r="F36">
        <v>14</v>
      </c>
      <c r="G36" t="s">
        <v>13</v>
      </c>
      <c r="H36" t="s">
        <v>19</v>
      </c>
      <c r="I36">
        <v>3</v>
      </c>
    </row>
    <row r="37" spans="1:9" x14ac:dyDescent="0.35">
      <c r="A37" t="s">
        <v>60</v>
      </c>
      <c r="B37" t="s">
        <v>30</v>
      </c>
      <c r="C37" t="s">
        <v>17</v>
      </c>
      <c r="D37" t="s">
        <v>28</v>
      </c>
      <c r="E37">
        <v>28</v>
      </c>
      <c r="F37">
        <v>27</v>
      </c>
      <c r="G37" t="s">
        <v>13</v>
      </c>
      <c r="H37" t="s">
        <v>14</v>
      </c>
      <c r="I37">
        <v>3</v>
      </c>
    </row>
    <row r="38" spans="1:9" x14ac:dyDescent="0.35">
      <c r="A38" t="s">
        <v>61</v>
      </c>
      <c r="B38" t="s">
        <v>10</v>
      </c>
      <c r="C38" t="s">
        <v>11</v>
      </c>
      <c r="D38" t="s">
        <v>18</v>
      </c>
      <c r="E38">
        <v>21</v>
      </c>
      <c r="F38">
        <v>18</v>
      </c>
      <c r="G38" t="s">
        <v>13</v>
      </c>
      <c r="H38" t="s">
        <v>19</v>
      </c>
      <c r="I38">
        <v>4</v>
      </c>
    </row>
    <row r="39" spans="1:9" x14ac:dyDescent="0.35">
      <c r="A39" t="s">
        <v>62</v>
      </c>
      <c r="B39" t="s">
        <v>16</v>
      </c>
      <c r="C39" t="s">
        <v>17</v>
      </c>
      <c r="D39" t="s">
        <v>12</v>
      </c>
      <c r="E39">
        <v>30</v>
      </c>
      <c r="F39">
        <v>28</v>
      </c>
      <c r="G39" t="s">
        <v>13</v>
      </c>
      <c r="H39" t="s">
        <v>14</v>
      </c>
      <c r="I39">
        <v>4</v>
      </c>
    </row>
    <row r="40" spans="1:9" x14ac:dyDescent="0.35">
      <c r="A40" t="s">
        <v>63</v>
      </c>
      <c r="B40" t="s">
        <v>21</v>
      </c>
      <c r="C40" t="s">
        <v>24</v>
      </c>
      <c r="D40" t="s">
        <v>25</v>
      </c>
      <c r="E40">
        <v>12</v>
      </c>
      <c r="F40">
        <v>12</v>
      </c>
      <c r="G40" t="s">
        <v>13</v>
      </c>
      <c r="H40" t="s">
        <v>14</v>
      </c>
      <c r="I40">
        <v>4</v>
      </c>
    </row>
    <row r="41" spans="1:9" x14ac:dyDescent="0.35">
      <c r="A41" t="s">
        <v>64</v>
      </c>
      <c r="B41" t="s">
        <v>23</v>
      </c>
      <c r="C41" t="s">
        <v>11</v>
      </c>
      <c r="D41" t="s">
        <v>28</v>
      </c>
      <c r="E41">
        <v>24</v>
      </c>
      <c r="F41">
        <v>21</v>
      </c>
      <c r="G41" t="s">
        <v>13</v>
      </c>
      <c r="H41" t="s">
        <v>19</v>
      </c>
      <c r="I41">
        <v>4</v>
      </c>
    </row>
    <row r="42" spans="1:9" x14ac:dyDescent="0.35">
      <c r="A42" t="s">
        <v>65</v>
      </c>
      <c r="B42" t="s">
        <v>27</v>
      </c>
      <c r="C42" t="s">
        <v>17</v>
      </c>
      <c r="D42" t="s">
        <v>18</v>
      </c>
      <c r="E42">
        <v>27</v>
      </c>
      <c r="F42">
        <v>25</v>
      </c>
      <c r="G42" t="s">
        <v>13</v>
      </c>
      <c r="H42" t="s">
        <v>14</v>
      </c>
      <c r="I42">
        <v>4</v>
      </c>
    </row>
    <row r="43" spans="1:9" x14ac:dyDescent="0.35">
      <c r="A43" t="s">
        <v>66</v>
      </c>
      <c r="B43" t="s">
        <v>30</v>
      </c>
      <c r="C43" t="s">
        <v>11</v>
      </c>
      <c r="D43" t="s">
        <v>12</v>
      </c>
      <c r="E43">
        <v>20</v>
      </c>
      <c r="F43">
        <v>18</v>
      </c>
      <c r="G43" t="s">
        <v>13</v>
      </c>
      <c r="H43" t="s">
        <v>14</v>
      </c>
      <c r="I43">
        <v>4</v>
      </c>
    </row>
    <row r="44" spans="1:9" x14ac:dyDescent="0.35">
      <c r="A44" t="s">
        <v>67</v>
      </c>
      <c r="B44" t="s">
        <v>10</v>
      </c>
      <c r="C44" t="s">
        <v>24</v>
      </c>
      <c r="D44" t="s">
        <v>25</v>
      </c>
      <c r="E44">
        <v>15</v>
      </c>
      <c r="F44">
        <v>13</v>
      </c>
      <c r="G44" t="s">
        <v>13</v>
      </c>
      <c r="H44" t="s">
        <v>19</v>
      </c>
      <c r="I44">
        <v>4</v>
      </c>
    </row>
    <row r="45" spans="1:9" x14ac:dyDescent="0.35">
      <c r="A45" t="s">
        <v>68</v>
      </c>
      <c r="B45" t="s">
        <v>16</v>
      </c>
      <c r="C45" t="s">
        <v>11</v>
      </c>
      <c r="D45" t="s">
        <v>28</v>
      </c>
      <c r="E45">
        <v>22</v>
      </c>
      <c r="F45">
        <v>20</v>
      </c>
      <c r="G45" t="s">
        <v>13</v>
      </c>
      <c r="H45" t="s">
        <v>14</v>
      </c>
      <c r="I45">
        <v>4</v>
      </c>
    </row>
    <row r="46" spans="1:9" x14ac:dyDescent="0.35">
      <c r="A46" t="s">
        <v>69</v>
      </c>
      <c r="B46" t="s">
        <v>21</v>
      </c>
      <c r="C46" t="s">
        <v>17</v>
      </c>
      <c r="D46" t="s">
        <v>12</v>
      </c>
      <c r="E46">
        <v>26</v>
      </c>
      <c r="F46">
        <v>25</v>
      </c>
      <c r="G46" t="s">
        <v>13</v>
      </c>
      <c r="H46" t="s">
        <v>14</v>
      </c>
      <c r="I46">
        <v>4</v>
      </c>
    </row>
    <row r="47" spans="1:9" x14ac:dyDescent="0.35">
      <c r="A47" t="s">
        <v>70</v>
      </c>
      <c r="B47" t="s">
        <v>23</v>
      </c>
      <c r="C47" t="s">
        <v>24</v>
      </c>
      <c r="D47" t="s">
        <v>18</v>
      </c>
      <c r="E47">
        <v>14</v>
      </c>
      <c r="F47">
        <v>11</v>
      </c>
      <c r="G47" t="s">
        <v>13</v>
      </c>
      <c r="H47" t="s">
        <v>19</v>
      </c>
      <c r="I47">
        <v>4</v>
      </c>
    </row>
    <row r="48" spans="1:9" x14ac:dyDescent="0.35">
      <c r="A48" t="s">
        <v>71</v>
      </c>
      <c r="B48" t="s">
        <v>27</v>
      </c>
      <c r="C48" t="s">
        <v>11</v>
      </c>
      <c r="D48" t="s">
        <v>25</v>
      </c>
      <c r="E48">
        <v>28</v>
      </c>
      <c r="F48">
        <v>26</v>
      </c>
      <c r="G48" t="s">
        <v>13</v>
      </c>
      <c r="H48" t="s">
        <v>14</v>
      </c>
      <c r="I48">
        <v>4</v>
      </c>
    </row>
    <row r="49" spans="1:9" x14ac:dyDescent="0.35">
      <c r="A49" t="s">
        <v>72</v>
      </c>
      <c r="B49" t="s">
        <v>30</v>
      </c>
      <c r="C49" t="s">
        <v>17</v>
      </c>
      <c r="D49" t="s">
        <v>28</v>
      </c>
      <c r="E49">
        <v>30</v>
      </c>
      <c r="F49">
        <v>28</v>
      </c>
      <c r="G49" t="s">
        <v>13</v>
      </c>
      <c r="H49" t="s">
        <v>14</v>
      </c>
      <c r="I4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49B3-2209-4896-B23B-9F1B5EC670E4}">
  <dimension ref="A1:F42"/>
  <sheetViews>
    <sheetView zoomScale="48" workbookViewId="0">
      <selection activeCell="O43" sqref="O43"/>
    </sheetView>
  </sheetViews>
  <sheetFormatPr defaultRowHeight="14.5" x14ac:dyDescent="0.35"/>
  <cols>
    <col min="1" max="1" width="30.7265625" bestFit="1" customWidth="1"/>
    <col min="2" max="2" width="12.08984375" customWidth="1"/>
    <col min="3" max="3" width="9.26953125" customWidth="1"/>
    <col min="4" max="4" width="21.54296875" bestFit="1" customWidth="1"/>
    <col min="5" max="5" width="13.08984375" customWidth="1"/>
    <col min="6" max="6" width="7.54296875" customWidth="1"/>
  </cols>
  <sheetData>
    <row r="1" spans="1:6" x14ac:dyDescent="0.35">
      <c r="A1" s="5" t="s">
        <v>73</v>
      </c>
      <c r="B1" s="6"/>
    </row>
    <row r="2" spans="1:6" ht="15" thickBot="1" x14ac:dyDescent="0.4">
      <c r="A2" s="7"/>
      <c r="B2" s="9"/>
    </row>
    <row r="3" spans="1:6" x14ac:dyDescent="0.35">
      <c r="A3" s="32" t="s">
        <v>74</v>
      </c>
      <c r="B3" s="14">
        <f>SUM('RAW DATA'!E2:E49)</f>
        <v>1026</v>
      </c>
    </row>
    <row r="4" spans="1:6" x14ac:dyDescent="0.35">
      <c r="A4" s="33" t="s">
        <v>75</v>
      </c>
      <c r="B4" s="15">
        <f>SUM('RAW DATA'!F2:F49)</f>
        <v>918</v>
      </c>
    </row>
    <row r="5" spans="1:6" x14ac:dyDescent="0.35">
      <c r="A5" s="33" t="s">
        <v>76</v>
      </c>
      <c r="B5" s="15">
        <f>COUNTIFS('RAW DATA'!H2:H49,"Yes")</f>
        <v>16</v>
      </c>
    </row>
    <row r="6" spans="1:6" ht="15" thickBot="1" x14ac:dyDescent="0.4">
      <c r="A6" s="34" t="s">
        <v>77</v>
      </c>
      <c r="B6" s="16">
        <f>B4/B3</f>
        <v>0.89473684210526316</v>
      </c>
    </row>
    <row r="8" spans="1:6" ht="15" thickBot="1" x14ac:dyDescent="0.4"/>
    <row r="9" spans="1:6" ht="14.5" customHeight="1" x14ac:dyDescent="0.35">
      <c r="A9" s="19" t="s">
        <v>78</v>
      </c>
      <c r="B9" s="20"/>
      <c r="C9" s="20"/>
      <c r="D9" s="20"/>
      <c r="E9" s="20"/>
      <c r="F9" s="21"/>
    </row>
    <row r="10" spans="1:6" ht="15" customHeight="1" thickBot="1" x14ac:dyDescent="0.4">
      <c r="A10" s="17"/>
      <c r="B10" s="18"/>
      <c r="C10" s="18"/>
      <c r="D10" s="18"/>
      <c r="E10" s="18"/>
      <c r="F10" s="22"/>
    </row>
    <row r="11" spans="1:6" ht="29.5" thickBot="1" x14ac:dyDescent="0.4">
      <c r="A11" s="29" t="s">
        <v>1</v>
      </c>
      <c r="B11" s="27" t="s">
        <v>4</v>
      </c>
      <c r="C11" s="30" t="s">
        <v>5</v>
      </c>
      <c r="D11" s="30" t="s">
        <v>79</v>
      </c>
      <c r="E11" s="30" t="s">
        <v>80</v>
      </c>
      <c r="F11" s="31" t="s">
        <v>81</v>
      </c>
    </row>
    <row r="12" spans="1:6" ht="15" thickBot="1" x14ac:dyDescent="0.4">
      <c r="A12" s="28" t="s">
        <v>10</v>
      </c>
      <c r="B12" s="14">
        <f>SUMIFS('RAW DATA'!E$2:E$49,'RAW DATA'!B$2:B$49,A12)</f>
        <v>166</v>
      </c>
      <c r="C12" s="24">
        <f>SUMIFS('RAW DATA'!F$2:F$49,'RAW DATA'!B$2:B$49,A12)</f>
        <v>150</v>
      </c>
      <c r="D12" s="24">
        <f>COUNTIFS('RAW DATA'!B$2:B$49,A12,'RAW DATA'!H$2:H$49,"Yes")</f>
        <v>2</v>
      </c>
      <c r="E12" s="25">
        <f>C12/B12</f>
        <v>0.90361445783132532</v>
      </c>
      <c r="F12" s="24">
        <f>_xlfn.RANK.EQ(E12,$E$12:$E$17,0)</f>
        <v>2</v>
      </c>
    </row>
    <row r="13" spans="1:6" ht="15" thickBot="1" x14ac:dyDescent="0.4">
      <c r="A13" s="29" t="s">
        <v>16</v>
      </c>
      <c r="B13" s="15">
        <f>SUMIFS('RAW DATA'!E$2:E$49,'RAW DATA'!B$2:B$49,A13)</f>
        <v>155</v>
      </c>
      <c r="C13" s="12">
        <f>SUMIFS('RAW DATA'!F$2:F$49,'RAW DATA'!B$2:B$49,A13)</f>
        <v>134</v>
      </c>
      <c r="D13" s="12">
        <f>COUNTIFS('RAW DATA'!B$2:B$49,A13,'RAW DATA'!H$2:H$49,"Yes")</f>
        <v>4</v>
      </c>
      <c r="E13" s="13">
        <f t="shared" ref="E13:E17" si="0">C13/B13</f>
        <v>0.86451612903225805</v>
      </c>
      <c r="F13" s="12">
        <f t="shared" ref="F13:F17" si="1">_xlfn.RANK.EQ(E13,$E$12:$E$17,0)</f>
        <v>6</v>
      </c>
    </row>
    <row r="14" spans="1:6" ht="15" thickBot="1" x14ac:dyDescent="0.4">
      <c r="A14" s="29" t="s">
        <v>21</v>
      </c>
      <c r="B14" s="15">
        <f>SUMIFS('RAW DATA'!E$2:E$49,'RAW DATA'!B$2:B$49,A14)</f>
        <v>150</v>
      </c>
      <c r="C14" s="12">
        <f>SUMIFS('RAW DATA'!F$2:F$49,'RAW DATA'!B$2:B$49,A14)</f>
        <v>138</v>
      </c>
      <c r="D14" s="12">
        <f>COUNTIFS('RAW DATA'!B$2:B$49,A14,'RAW DATA'!H$2:H$49,"Yes")</f>
        <v>2</v>
      </c>
      <c r="E14" s="13">
        <f t="shared" si="0"/>
        <v>0.92</v>
      </c>
      <c r="F14" s="12">
        <f t="shared" si="1"/>
        <v>1</v>
      </c>
    </row>
    <row r="15" spans="1:6" ht="15" thickBot="1" x14ac:dyDescent="0.4">
      <c r="A15" s="29" t="s">
        <v>23</v>
      </c>
      <c r="B15" s="15">
        <f>SUMIFS('RAW DATA'!E$2:E$49,'RAW DATA'!B$2:B$49,A15)</f>
        <v>179</v>
      </c>
      <c r="C15" s="12">
        <f>SUMIFS('RAW DATA'!F$2:F$49,'RAW DATA'!B$2:B$49,A15)</f>
        <v>157</v>
      </c>
      <c r="D15" s="12">
        <f>COUNTIFS('RAW DATA'!B$2:B$49,A15,'RAW DATA'!H$2:H$49,"Yes")</f>
        <v>4</v>
      </c>
      <c r="E15" s="13">
        <f t="shared" si="0"/>
        <v>0.87709497206703912</v>
      </c>
      <c r="F15" s="12">
        <f t="shared" si="1"/>
        <v>5</v>
      </c>
    </row>
    <row r="16" spans="1:6" ht="15" thickBot="1" x14ac:dyDescent="0.4">
      <c r="A16" s="29" t="s">
        <v>27</v>
      </c>
      <c r="B16" s="15">
        <f>SUMIFS('RAW DATA'!E$2:E$49,'RAW DATA'!B$2:B$49,A16)</f>
        <v>206</v>
      </c>
      <c r="C16" s="12">
        <f>SUMIFS('RAW DATA'!F$2:F$49,'RAW DATA'!B$2:B$49,A16)</f>
        <v>186</v>
      </c>
      <c r="D16" s="12">
        <f>COUNTIFS('RAW DATA'!B$2:B$49,A16,'RAW DATA'!H$2:H$49,"Yes")</f>
        <v>2</v>
      </c>
      <c r="E16" s="13">
        <f t="shared" si="0"/>
        <v>0.90291262135922334</v>
      </c>
      <c r="F16" s="12">
        <f t="shared" si="1"/>
        <v>3</v>
      </c>
    </row>
    <row r="17" spans="1:6" ht="15" thickBot="1" x14ac:dyDescent="0.4">
      <c r="A17" s="29" t="s">
        <v>30</v>
      </c>
      <c r="B17" s="15">
        <f>SUMIFS('RAW DATA'!E$2:E$49,'RAW DATA'!B$2:B$49,A17)</f>
        <v>170</v>
      </c>
      <c r="C17" s="12">
        <f>SUMIFS('RAW DATA'!F$2:F$49,'RAW DATA'!B$2:B$49,A17)</f>
        <v>153</v>
      </c>
      <c r="D17" s="12">
        <f>COUNTIFS('RAW DATA'!B$2:B$49,A17,'RAW DATA'!H$2:H$49,"Yes")</f>
        <v>2</v>
      </c>
      <c r="E17" s="13">
        <f t="shared" si="0"/>
        <v>0.9</v>
      </c>
      <c r="F17" s="12">
        <f t="shared" si="1"/>
        <v>4</v>
      </c>
    </row>
    <row r="19" spans="1:6" ht="15" thickBot="1" x14ac:dyDescent="0.4"/>
    <row r="20" spans="1:6" ht="14.5" customHeight="1" x14ac:dyDescent="0.35">
      <c r="A20" s="19" t="s">
        <v>82</v>
      </c>
      <c r="B20" s="20"/>
      <c r="C20" s="20"/>
      <c r="D20" s="20"/>
      <c r="E20" s="21"/>
    </row>
    <row r="21" spans="1:6" ht="15" customHeight="1" thickBot="1" x14ac:dyDescent="0.4">
      <c r="A21" s="17"/>
      <c r="B21" s="18"/>
      <c r="C21" s="18"/>
      <c r="D21" s="18"/>
      <c r="E21" s="22"/>
    </row>
    <row r="22" spans="1:6" ht="29.5" thickBot="1" x14ac:dyDescent="0.4">
      <c r="A22" s="26" t="s">
        <v>2</v>
      </c>
      <c r="B22" s="27" t="s">
        <v>4</v>
      </c>
      <c r="C22" s="11" t="s">
        <v>5</v>
      </c>
      <c r="D22" s="11" t="s">
        <v>83</v>
      </c>
      <c r="E22" s="26" t="s">
        <v>79</v>
      </c>
    </row>
    <row r="23" spans="1:6" ht="15" thickBot="1" x14ac:dyDescent="0.4">
      <c r="A23" s="28" t="s">
        <v>11</v>
      </c>
      <c r="B23" s="14">
        <f>SUMIFS('RAW DATA'!E$2:E$49,'RAW DATA'!C$2:C$49,A23)</f>
        <v>449</v>
      </c>
      <c r="C23" s="24">
        <f>SUMIFS('RAW DATA'!F$2:F$49,'RAW DATA'!C$2:C$49,A23)</f>
        <v>399</v>
      </c>
      <c r="D23" s="24">
        <f>AVERAGEIFS('RAW DATA'!E$2:E$49,'RAW DATA'!C$2:C$49,A23)</f>
        <v>22.45</v>
      </c>
      <c r="E23" s="24">
        <f>COUNTIFS('RAW DATA'!C$2:C$49,A23,'RAW DATA'!H$2:H$49,"Yes")</f>
        <v>6</v>
      </c>
    </row>
    <row r="24" spans="1:6" ht="15" thickBot="1" x14ac:dyDescent="0.4">
      <c r="A24" s="29" t="s">
        <v>17</v>
      </c>
      <c r="B24" s="15">
        <f>SUMIFS('RAW DATA'!E$2:E$49,'RAW DATA'!C$2:C$49,A24)</f>
        <v>433</v>
      </c>
      <c r="C24" s="12">
        <f>SUMIFS('RAW DATA'!F$2:F$49,'RAW DATA'!C$2:C$49,A24)</f>
        <v>394</v>
      </c>
      <c r="D24" s="12">
        <f>AVERAGEIFS('RAW DATA'!E$2:E$49,'RAW DATA'!C$2:C$49,A24)</f>
        <v>25.470588235294116</v>
      </c>
      <c r="E24" s="12">
        <f>COUNTIFS('RAW DATA'!C$2:C$49,A24,'RAW DATA'!H$2:H$49,"Yes")</f>
        <v>3</v>
      </c>
    </row>
    <row r="25" spans="1:6" ht="15" thickBot="1" x14ac:dyDescent="0.4">
      <c r="A25" s="29" t="s">
        <v>24</v>
      </c>
      <c r="B25" s="15">
        <f>SUMIFS('RAW DATA'!E$2:E$49,'RAW DATA'!C$2:C$49,A25)</f>
        <v>144</v>
      </c>
      <c r="C25" s="12">
        <f>SUMIFS('RAW DATA'!F$2:F$49,'RAW DATA'!C$2:C$49,A25)</f>
        <v>125</v>
      </c>
      <c r="D25" s="12">
        <f>AVERAGEIFS('RAW DATA'!E$2:E$49,'RAW DATA'!C$2:C$49,A25)</f>
        <v>13.090909090909092</v>
      </c>
      <c r="E25" s="12">
        <f>COUNTIFS('RAW DATA'!C$2:C$49,A25,'RAW DATA'!H$2:H$49,"Yes")</f>
        <v>7</v>
      </c>
    </row>
    <row r="27" spans="1:6" ht="15" thickBot="1" x14ac:dyDescent="0.4"/>
    <row r="28" spans="1:6" ht="14.5" customHeight="1" x14ac:dyDescent="0.35">
      <c r="A28" s="19" t="s">
        <v>84</v>
      </c>
      <c r="B28" s="20"/>
      <c r="C28" s="20"/>
      <c r="D28" s="20"/>
      <c r="E28" s="21"/>
    </row>
    <row r="29" spans="1:6" ht="15" customHeight="1" thickBot="1" x14ac:dyDescent="0.4">
      <c r="A29" s="17"/>
      <c r="B29" s="18"/>
      <c r="C29" s="18"/>
      <c r="D29" s="18"/>
      <c r="E29" s="22"/>
    </row>
    <row r="30" spans="1:6" ht="29.5" thickBot="1" x14ac:dyDescent="0.4">
      <c r="A30" s="11" t="s">
        <v>3</v>
      </c>
      <c r="B30" s="11" t="s">
        <v>4</v>
      </c>
      <c r="C30" s="11" t="s">
        <v>5</v>
      </c>
      <c r="D30" s="11" t="s">
        <v>79</v>
      </c>
      <c r="E30" s="26" t="s">
        <v>80</v>
      </c>
    </row>
    <row r="31" spans="1:6" ht="15" thickBot="1" x14ac:dyDescent="0.4">
      <c r="A31" s="23" t="s">
        <v>12</v>
      </c>
      <c r="B31" s="24">
        <f>SUMIFS('RAW DATA'!E$2:E$49,'RAW DATA'!D$2:D$49,A31)</f>
        <v>299</v>
      </c>
      <c r="C31" s="24">
        <f>SUMIFS('RAW DATA'!F$2:F$49,'RAW DATA'!D$2:D$49,A31)</f>
        <v>273</v>
      </c>
      <c r="D31" s="24">
        <f>COUNTIFS('RAW DATA'!D$2:D$49,A31,'RAW DATA'!H$2:H$49,"Yes")</f>
        <v>4</v>
      </c>
      <c r="E31" s="25">
        <f>C31/B31</f>
        <v>0.91304347826086951</v>
      </c>
    </row>
    <row r="32" spans="1:6" ht="15" thickBot="1" x14ac:dyDescent="0.4">
      <c r="A32" s="10" t="s">
        <v>18</v>
      </c>
      <c r="B32" s="12">
        <f>SUMIFS('RAW DATA'!E$2:E$49,'RAW DATA'!D$2:D$49,A32)</f>
        <v>247</v>
      </c>
      <c r="C32" s="12">
        <f>SUMIFS('RAW DATA'!F$2:F$49,'RAW DATA'!D$2:D$49,A32)</f>
        <v>212</v>
      </c>
      <c r="D32" s="12">
        <f>COUNTIFS('RAW DATA'!D$2:D$49,A32,'RAW DATA'!H$2:H$49,"Yes")</f>
        <v>5</v>
      </c>
      <c r="E32" s="13">
        <f t="shared" ref="E32:E34" si="2">C32/B32</f>
        <v>0.8582995951417004</v>
      </c>
    </row>
    <row r="33" spans="1:5" ht="15" thickBot="1" x14ac:dyDescent="0.4">
      <c r="A33" s="10" t="s">
        <v>25</v>
      </c>
      <c r="B33" s="12">
        <f>SUMIFS('RAW DATA'!E$2:E$49,'RAW DATA'!D$2:D$49,A33)</f>
        <v>205</v>
      </c>
      <c r="C33" s="12">
        <f>SUMIFS('RAW DATA'!F$2:F$49,'RAW DATA'!D$2:D$49,A33)</f>
        <v>184</v>
      </c>
      <c r="D33" s="12">
        <f>COUNTIFS('RAW DATA'!D$2:D$49,A33,'RAW DATA'!H$2:H$49,"Yes")</f>
        <v>3</v>
      </c>
      <c r="E33" s="13">
        <f t="shared" si="2"/>
        <v>0.89756097560975612</v>
      </c>
    </row>
    <row r="34" spans="1:5" ht="15" thickBot="1" x14ac:dyDescent="0.4">
      <c r="A34" s="10" t="s">
        <v>28</v>
      </c>
      <c r="B34" s="12">
        <f>SUMIFS('RAW DATA'!E$2:E$49,'RAW DATA'!D$2:D$49,A34)</f>
        <v>275</v>
      </c>
      <c r="C34" s="12">
        <f>SUMIFS('RAW DATA'!F$2:F$49,'RAW DATA'!D$2:D$49,A34)</f>
        <v>249</v>
      </c>
      <c r="D34" s="12">
        <f>COUNTIFS('RAW DATA'!D$2:D$49,A34,'RAW DATA'!H$2:H$49,"Yes")</f>
        <v>4</v>
      </c>
      <c r="E34" s="13">
        <f t="shared" si="2"/>
        <v>0.9054545454545454</v>
      </c>
    </row>
    <row r="36" spans="1:5" ht="15" thickBot="1" x14ac:dyDescent="0.4"/>
    <row r="37" spans="1:5" ht="14.5" customHeight="1" x14ac:dyDescent="0.35">
      <c r="A37" s="5" t="s">
        <v>85</v>
      </c>
      <c r="B37" s="6"/>
    </row>
    <row r="38" spans="1:5" ht="15" thickBot="1" x14ac:dyDescent="0.4">
      <c r="A38" s="7"/>
      <c r="B38" s="8"/>
    </row>
    <row r="39" spans="1:5" ht="15" thickBot="1" x14ac:dyDescent="0.4">
      <c r="A39" s="23" t="s">
        <v>86</v>
      </c>
      <c r="B39" s="12" t="str">
        <f>INDEX(A12:A17,MATCH(LARGE(E12:E17,1),E12:E17,0))</f>
        <v>Staff 03</v>
      </c>
    </row>
    <row r="40" spans="1:5" ht="15" thickBot="1" x14ac:dyDescent="0.4">
      <c r="A40" s="23" t="s">
        <v>87</v>
      </c>
      <c r="B40" s="12" t="str">
        <f>INDEX(A12:A17,MATCH(SMALL(E12:E17,1),E12:E17,0))</f>
        <v>Staff 02</v>
      </c>
    </row>
    <row r="41" spans="1:5" ht="15" thickBot="1" x14ac:dyDescent="0.4">
      <c r="A41" s="23" t="s">
        <v>89</v>
      </c>
      <c r="B41" s="12" t="str">
        <f>INDEX(A23:A25,MATCH(LARGE(B23:B25,1),B23:B25,0))</f>
        <v>Personal Care</v>
      </c>
    </row>
    <row r="42" spans="1:5" ht="15" thickBot="1" x14ac:dyDescent="0.4">
      <c r="A42" s="23" t="s">
        <v>88</v>
      </c>
      <c r="B42" s="12" t="str">
        <f>INDEX(A31:A34,MATCH(SMALL(E31:E34,1),E31:E34,0))</f>
        <v>West</v>
      </c>
    </row>
  </sheetData>
  <mergeCells count="5">
    <mergeCell ref="A37:B38"/>
    <mergeCell ref="A1:B2"/>
    <mergeCell ref="A9:F10"/>
    <mergeCell ref="A20:E21"/>
    <mergeCell ref="A28:E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2047-05E5-4776-AC1F-849F43C2EA0C}">
  <dimension ref="A1:G14"/>
  <sheetViews>
    <sheetView topLeftCell="A7" zoomScale="86" workbookViewId="0">
      <selection activeCell="Q28" sqref="Q28"/>
    </sheetView>
  </sheetViews>
  <sheetFormatPr defaultRowHeight="14.5" x14ac:dyDescent="0.35"/>
  <cols>
    <col min="1" max="1" width="28.1796875" bestFit="1" customWidth="1"/>
    <col min="2" max="2" width="14.36328125" bestFit="1" customWidth="1"/>
    <col min="3" max="3" width="16.6328125" bestFit="1" customWidth="1"/>
    <col min="5" max="5" width="11.36328125" bestFit="1" customWidth="1"/>
    <col min="7" max="7" width="14.36328125" bestFit="1" customWidth="1"/>
  </cols>
  <sheetData>
    <row r="1" spans="1:7" x14ac:dyDescent="0.35">
      <c r="A1" s="19" t="s">
        <v>90</v>
      </c>
      <c r="B1" s="20"/>
      <c r="C1" s="20"/>
      <c r="D1" s="20"/>
      <c r="E1" s="20"/>
      <c r="F1" s="20"/>
      <c r="G1" s="21"/>
    </row>
    <row r="2" spans="1:7" ht="15" thickBot="1" x14ac:dyDescent="0.4">
      <c r="A2" s="17"/>
      <c r="B2" s="18"/>
      <c r="C2" s="18"/>
      <c r="D2" s="18"/>
      <c r="E2" s="18"/>
      <c r="F2" s="18"/>
      <c r="G2" s="22"/>
    </row>
    <row r="3" spans="1:7" ht="15" thickBot="1" x14ac:dyDescent="0.4">
      <c r="A3" s="40" t="s">
        <v>74</v>
      </c>
      <c r="B3" s="41"/>
      <c r="C3" s="41" t="s">
        <v>75</v>
      </c>
      <c r="D3" s="41"/>
      <c r="E3" s="41" t="s">
        <v>79</v>
      </c>
      <c r="F3" s="41"/>
      <c r="G3" s="42" t="s">
        <v>80</v>
      </c>
    </row>
    <row r="4" spans="1:7" x14ac:dyDescent="0.35">
      <c r="A4" s="1">
        <f>Analysis!B3</f>
        <v>1026</v>
      </c>
      <c r="B4" s="1"/>
      <c r="C4" s="1">
        <f>Analysis!B4</f>
        <v>918</v>
      </c>
      <c r="D4" s="1"/>
      <c r="E4" s="1">
        <f>Analysis!B5</f>
        <v>16</v>
      </c>
      <c r="F4" s="1"/>
      <c r="G4" s="35">
        <f>Analysis!B6</f>
        <v>0.89473684210526316</v>
      </c>
    </row>
    <row r="5" spans="1:7" ht="15" thickBot="1" x14ac:dyDescent="0.4"/>
    <row r="6" spans="1:7" x14ac:dyDescent="0.35">
      <c r="A6" s="19" t="s">
        <v>78</v>
      </c>
      <c r="B6" s="21"/>
    </row>
    <row r="7" spans="1:7" ht="15" thickBot="1" x14ac:dyDescent="0.4">
      <c r="A7" s="17"/>
      <c r="B7" s="22"/>
    </row>
    <row r="8" spans="1:7" ht="15" thickBot="1" x14ac:dyDescent="0.4">
      <c r="A8" s="38" t="s">
        <v>1</v>
      </c>
      <c r="B8" s="39" t="s">
        <v>80</v>
      </c>
    </row>
    <row r="9" spans="1:7" x14ac:dyDescent="0.35">
      <c r="A9" s="36" t="s">
        <v>10</v>
      </c>
      <c r="B9" s="35">
        <f>Analysis!E12</f>
        <v>0.90361445783132532</v>
      </c>
      <c r="D9" s="43" t="s">
        <v>91</v>
      </c>
      <c r="E9" s="46">
        <f>Analysis!E31</f>
        <v>0.91304347826086951</v>
      </c>
    </row>
    <row r="10" spans="1:7" x14ac:dyDescent="0.35">
      <c r="A10" s="36" t="s">
        <v>16</v>
      </c>
      <c r="B10" s="35">
        <f>Analysis!E13</f>
        <v>0.86451612903225805</v>
      </c>
      <c r="D10" s="44" t="s">
        <v>18</v>
      </c>
      <c r="E10" s="46">
        <f>Analysis!E32</f>
        <v>0.8582995951417004</v>
      </c>
    </row>
    <row r="11" spans="1:7" x14ac:dyDescent="0.35">
      <c r="A11" s="36" t="s">
        <v>21</v>
      </c>
      <c r="B11" s="35">
        <f>Analysis!E14</f>
        <v>0.92</v>
      </c>
      <c r="D11" s="44" t="s">
        <v>25</v>
      </c>
      <c r="E11" s="46">
        <f>Analysis!E33</f>
        <v>0.89756097560975612</v>
      </c>
    </row>
    <row r="12" spans="1:7" ht="15" thickBot="1" x14ac:dyDescent="0.4">
      <c r="A12" s="36" t="s">
        <v>23</v>
      </c>
      <c r="B12" s="35">
        <f>Analysis!E15</f>
        <v>0.87709497206703912</v>
      </c>
      <c r="D12" s="45" t="s">
        <v>28</v>
      </c>
      <c r="E12" s="46">
        <f>Analysis!E34</f>
        <v>0.9054545454545454</v>
      </c>
    </row>
    <row r="13" spans="1:7" x14ac:dyDescent="0.35">
      <c r="A13" s="36" t="s">
        <v>27</v>
      </c>
      <c r="B13" s="35">
        <f>Analysis!E16</f>
        <v>0.90291262135922334</v>
      </c>
    </row>
    <row r="14" spans="1:7" ht="15" thickBot="1" x14ac:dyDescent="0.4">
      <c r="A14" s="37" t="s">
        <v>30</v>
      </c>
      <c r="B14" s="35">
        <f>Analysis!E17</f>
        <v>0.9</v>
      </c>
    </row>
  </sheetData>
  <mergeCells count="2">
    <mergeCell ref="A1:G2"/>
    <mergeCell ref="A6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Dhungel, Karuna</dc:creator>
  <cp:lastModifiedBy>Dhungel, Karuna</cp:lastModifiedBy>
  <dcterms:created xsi:type="dcterms:W3CDTF">2026-09-15T03:30:39Z</dcterms:created>
  <dcterms:modified xsi:type="dcterms:W3CDTF">2026-09-15T04:16:55Z</dcterms:modified>
</cp:coreProperties>
</file>